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490" windowHeight="7755"/>
  </bookViews>
  <sheets>
    <sheet name="12 hours" sheetId="4" r:id="rId1"/>
  </sheets>
  <calcPr calcId="124519"/>
</workbook>
</file>

<file path=xl/calcChain.xml><?xml version="1.0" encoding="utf-8"?>
<calcChain xmlns="http://schemas.openxmlformats.org/spreadsheetml/2006/main">
  <c r="C15" i="4"/>
  <c r="D4" l="1"/>
  <c r="C4"/>
  <c r="D11"/>
  <c r="D10"/>
  <c r="D8"/>
  <c r="D6" l="1"/>
  <c r="D9" s="1"/>
  <c r="D14" s="1"/>
  <c r="D15" s="1"/>
  <c r="D16" s="1"/>
  <c r="D17" s="1"/>
  <c r="C11"/>
  <c r="C6" l="1"/>
  <c r="C10"/>
  <c r="C8"/>
  <c r="C9" l="1"/>
  <c r="C14" s="1"/>
  <c r="C16" l="1"/>
  <c r="C17" s="1"/>
  <c r="D18" s="1"/>
  <c r="C18" l="1"/>
</calcChain>
</file>

<file path=xl/sharedStrings.xml><?xml version="1.0" encoding="utf-8"?>
<sst xmlns="http://schemas.openxmlformats.org/spreadsheetml/2006/main" count="26" uniqueCount="26">
  <si>
    <t>PARTICULARS</t>
  </si>
  <si>
    <t>Total</t>
  </si>
  <si>
    <t>Note:</t>
  </si>
  <si>
    <t>HRA</t>
  </si>
  <si>
    <t>Uniform Charges</t>
  </si>
  <si>
    <t>Net Total</t>
  </si>
  <si>
    <t xml:space="preserve">Total </t>
  </si>
  <si>
    <t>STATUTORY COMPLIANCES</t>
  </si>
  <si>
    <t>Relieving Charges</t>
  </si>
  <si>
    <t xml:space="preserve"> Grand Total </t>
  </si>
  <si>
    <t>Fixed</t>
  </si>
  <si>
    <t>Bonus</t>
  </si>
  <si>
    <t>PF</t>
  </si>
  <si>
    <t>ESI</t>
  </si>
  <si>
    <t>1) GST shall be charged extra as applicable on the total billing</t>
  </si>
  <si>
    <t>%</t>
  </si>
  <si>
    <t>Minimum/Basic Wage</t>
  </si>
  <si>
    <t>2) Rates are linked to minimum wages. Variation in MW will attract a pro rata increase</t>
  </si>
  <si>
    <t>Service Charges</t>
  </si>
  <si>
    <t>Labour Welfare Fund</t>
  </si>
  <si>
    <t>3) Leave as applicable would be claimed as actuals.</t>
  </si>
  <si>
    <t>Leave</t>
  </si>
  <si>
    <t>Security 
Guard/ Lady Guard</t>
  </si>
  <si>
    <t>Security 
Supervisor</t>
  </si>
  <si>
    <t>Conveyance</t>
  </si>
  <si>
    <t xml:space="preserve">Rate Breakup        SILBAR SECURITY SERVICES
State: Rajasthan                                                                                                    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</si>
</sst>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 vertical="center"/>
    </xf>
    <xf numFmtId="0" fontId="2" fillId="0" borderId="0" xfId="0" applyFont="1" applyFill="1" applyBorder="1"/>
    <xf numFmtId="0" fontId="2" fillId="0" borderId="0" xfId="0" applyFont="1" applyBorder="1"/>
    <xf numFmtId="0" fontId="3" fillId="0" borderId="0" xfId="0" applyFont="1" applyBorder="1"/>
    <xf numFmtId="1" fontId="3" fillId="0" borderId="0" xfId="0" applyNumberFormat="1" applyFont="1" applyBorder="1"/>
    <xf numFmtId="1" fontId="2" fillId="0" borderId="0" xfId="0" applyNumberFormat="1" applyFont="1" applyBorder="1"/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5" fillId="3" borderId="2" xfId="0" applyFont="1" applyFill="1" applyBorder="1"/>
    <xf numFmtId="0" fontId="5" fillId="3" borderId="5" xfId="0" applyFont="1" applyFill="1" applyBorder="1"/>
    <xf numFmtId="0" fontId="5" fillId="0" borderId="14" xfId="0" applyFont="1" applyFill="1" applyBorder="1"/>
    <xf numFmtId="9" fontId="5" fillId="0" borderId="15" xfId="0" applyNumberFormat="1" applyFont="1" applyFill="1" applyBorder="1"/>
    <xf numFmtId="0" fontId="4" fillId="3" borderId="3" xfId="0" applyFont="1" applyFill="1" applyBorder="1"/>
    <xf numFmtId="0" fontId="4" fillId="3" borderId="6" xfId="0" applyFont="1" applyFill="1" applyBorder="1"/>
    <xf numFmtId="0" fontId="4" fillId="0" borderId="0" xfId="0" applyFont="1" applyBorder="1"/>
    <xf numFmtId="0" fontId="5" fillId="0" borderId="3" xfId="0" applyFont="1" applyFill="1" applyBorder="1"/>
    <xf numFmtId="10" fontId="5" fillId="0" borderId="6" xfId="0" applyNumberFormat="1" applyFont="1" applyFill="1" applyBorder="1" applyAlignment="1">
      <alignment horizontal="center"/>
    </xf>
    <xf numFmtId="0" fontId="5" fillId="0" borderId="3" xfId="1" applyFont="1" applyFill="1" applyBorder="1" applyAlignment="1" applyProtection="1"/>
    <xf numFmtId="10" fontId="5" fillId="0" borderId="6" xfId="1" applyNumberFormat="1" applyFont="1" applyFill="1" applyBorder="1" applyAlignment="1" applyProtection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6" xfId="1" applyFont="1" applyFill="1" applyBorder="1" applyAlignment="1" applyProtection="1">
      <alignment horizontal="center"/>
    </xf>
    <xf numFmtId="0" fontId="5" fillId="3" borderId="6" xfId="0" applyFont="1" applyFill="1" applyBorder="1" applyAlignment="1">
      <alignment horizontal="center"/>
    </xf>
    <xf numFmtId="0" fontId="5" fillId="4" borderId="4" xfId="0" applyFont="1" applyFill="1" applyBorder="1"/>
    <xf numFmtId="10" fontId="5" fillId="4" borderId="7" xfId="0" applyNumberFormat="1" applyFont="1" applyFill="1" applyBorder="1" applyAlignment="1">
      <alignment horizontal="center"/>
    </xf>
    <xf numFmtId="0" fontId="4" fillId="5" borderId="12" xfId="0" applyFont="1" applyFill="1" applyBorder="1"/>
    <xf numFmtId="0" fontId="4" fillId="5" borderId="13" xfId="0" applyFont="1" applyFill="1" applyBorder="1"/>
    <xf numFmtId="0" fontId="4" fillId="4" borderId="0" xfId="0" applyFont="1" applyFill="1" applyBorder="1"/>
    <xf numFmtId="1" fontId="4" fillId="4" borderId="0" xfId="0" applyNumberFormat="1" applyFont="1" applyFill="1" applyBorder="1" applyAlignment="1">
      <alignment horizontal="center"/>
    </xf>
    <xf numFmtId="0" fontId="5" fillId="0" borderId="0" xfId="0" applyFont="1"/>
    <xf numFmtId="0" fontId="5" fillId="0" borderId="1" xfId="0" applyFont="1" applyBorder="1" applyAlignment="1"/>
    <xf numFmtId="0" fontId="5" fillId="0" borderId="1" xfId="0" applyFont="1" applyBorder="1"/>
    <xf numFmtId="0" fontId="6" fillId="0" borderId="1" xfId="0" applyFont="1" applyBorder="1"/>
    <xf numFmtId="0" fontId="4" fillId="0" borderId="17" xfId="0" applyFont="1" applyBorder="1" applyAlignment="1">
      <alignment horizontal="center" vertical="center" wrapText="1"/>
    </xf>
    <xf numFmtId="1" fontId="4" fillId="3" borderId="18" xfId="0" applyNumberFormat="1" applyFont="1" applyFill="1" applyBorder="1" applyAlignment="1">
      <alignment horizontal="center"/>
    </xf>
    <xf numFmtId="1" fontId="5" fillId="0" borderId="19" xfId="0" applyNumberFormat="1" applyFont="1" applyFill="1" applyBorder="1" applyAlignment="1">
      <alignment horizontal="center"/>
    </xf>
    <xf numFmtId="1" fontId="4" fillId="3" borderId="20" xfId="0" applyNumberFormat="1" applyFont="1" applyFill="1" applyBorder="1" applyAlignment="1">
      <alignment horizontal="center"/>
    </xf>
    <xf numFmtId="1" fontId="5" fillId="0" borderId="20" xfId="0" applyNumberFormat="1" applyFont="1" applyFill="1" applyBorder="1" applyAlignment="1">
      <alignment horizontal="center"/>
    </xf>
    <xf numFmtId="1" fontId="5" fillId="4" borderId="21" xfId="0" applyNumberFormat="1" applyFont="1" applyFill="1" applyBorder="1" applyAlignment="1">
      <alignment horizontal="center"/>
    </xf>
    <xf numFmtId="1" fontId="4" fillId="5" borderId="22" xfId="0" applyNumberFormat="1" applyFont="1" applyFill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left" vertical="center" wrapText="1"/>
    </xf>
    <xf numFmtId="0" fontId="7" fillId="2" borderId="24" xfId="0" applyFont="1" applyFill="1" applyBorder="1" applyAlignment="1">
      <alignment horizontal="left" vertical="center" wrapText="1"/>
    </xf>
  </cellXfs>
  <cellStyles count="4">
    <cellStyle name="Hyperlink" xfId="1" builtinId="8"/>
    <cellStyle name="Normal" xfId="0" builtinId="0"/>
    <cellStyle name="Normal 2" xfId="2"/>
    <cellStyle name="Percent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0</xdr:row>
      <xdr:rowOff>38100</xdr:rowOff>
    </xdr:from>
    <xdr:to>
      <xdr:col>3</xdr:col>
      <xdr:colOff>1162050</xdr:colOff>
      <xdr:row>0</xdr:row>
      <xdr:rowOff>863143</xdr:rowOff>
    </xdr:to>
    <xdr:pic>
      <xdr:nvPicPr>
        <xdr:cNvPr id="2" name="Picture 1" descr="Silbar Security.jpg021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38100"/>
          <a:ext cx="962025" cy="825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F@13%25%20on%20Basic" TargetMode="External"/><Relationship Id="rId2" Type="http://schemas.openxmlformats.org/officeDocument/2006/relationships/hyperlink" Target="mailto:Leave@9.61%25%20on%20Basic" TargetMode="External"/><Relationship Id="rId1" Type="http://schemas.openxmlformats.org/officeDocument/2006/relationships/hyperlink" Target="mailto:Bonus@8.33%25%20on%20Basic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>
      <selection activeCell="E1" sqref="E1"/>
    </sheetView>
  </sheetViews>
  <sheetFormatPr defaultRowHeight="12.75"/>
  <cols>
    <col min="1" max="1" width="22.5703125" style="1" customWidth="1"/>
    <col min="2" max="2" width="13.42578125" style="1" customWidth="1"/>
    <col min="3" max="3" width="28.42578125" style="1" customWidth="1"/>
    <col min="4" max="4" width="18.28515625" style="1" customWidth="1"/>
    <col min="5" max="9" width="9.140625" style="1"/>
    <col min="10" max="10" width="9.28515625" style="1" customWidth="1"/>
    <col min="11" max="11" width="9" style="1" customWidth="1"/>
    <col min="12" max="16384" width="9.140625" style="1"/>
  </cols>
  <sheetData>
    <row r="1" spans="1:5" ht="71.25" customHeight="1" thickBot="1">
      <c r="A1" s="46" t="s">
        <v>25</v>
      </c>
      <c r="B1" s="47"/>
      <c r="C1" s="47"/>
      <c r="D1" s="47"/>
    </row>
    <row r="2" spans="1:5" s="2" customFormat="1" ht="32.25" thickBot="1">
      <c r="A2" s="8" t="s">
        <v>0</v>
      </c>
      <c r="B2" s="9" t="s">
        <v>15</v>
      </c>
      <c r="C2" s="34" t="s">
        <v>22</v>
      </c>
      <c r="D2" s="34" t="s">
        <v>23</v>
      </c>
    </row>
    <row r="3" spans="1:5" s="3" customFormat="1" ht="23.25" customHeight="1">
      <c r="A3" s="10" t="s">
        <v>16</v>
      </c>
      <c r="B3" s="11"/>
      <c r="C3" s="35">
        <v>6474</v>
      </c>
      <c r="D3" s="35">
        <v>7774</v>
      </c>
    </row>
    <row r="4" spans="1:5" s="3" customFormat="1" ht="23.25" customHeight="1">
      <c r="A4" s="12" t="s">
        <v>3</v>
      </c>
      <c r="B4" s="13">
        <v>0.5</v>
      </c>
      <c r="C4" s="36">
        <f>C3*B4</f>
        <v>3237</v>
      </c>
      <c r="D4" s="36">
        <f>D3*B4</f>
        <v>3887</v>
      </c>
    </row>
    <row r="5" spans="1:5" s="3" customFormat="1" ht="19.5" customHeight="1">
      <c r="A5" s="17" t="s">
        <v>24</v>
      </c>
      <c r="B5" s="13"/>
      <c r="C5" s="36"/>
      <c r="D5" s="36">
        <v>1000</v>
      </c>
    </row>
    <row r="6" spans="1:5" s="5" customFormat="1" ht="22.5" customHeight="1">
      <c r="A6" s="14" t="s">
        <v>6</v>
      </c>
      <c r="B6" s="15"/>
      <c r="C6" s="37">
        <f>SUM(C3:C5)</f>
        <v>9711</v>
      </c>
      <c r="D6" s="37">
        <f>SUM(D3:D5)</f>
        <v>12661</v>
      </c>
      <c r="E6" s="6"/>
    </row>
    <row r="7" spans="1:5" s="4" customFormat="1" ht="24" customHeight="1">
      <c r="A7" s="43" t="s">
        <v>7</v>
      </c>
      <c r="B7" s="44"/>
      <c r="C7" s="44"/>
      <c r="D7" s="45"/>
    </row>
    <row r="8" spans="1:5" s="4" customFormat="1" ht="25.5" customHeight="1">
      <c r="A8" s="17" t="s">
        <v>12</v>
      </c>
      <c r="B8" s="18">
        <v>0.13</v>
      </c>
      <c r="C8" s="38">
        <f>C3*$B$8</f>
        <v>841.62</v>
      </c>
      <c r="D8" s="38">
        <f>D3*$B$8</f>
        <v>1010.62</v>
      </c>
      <c r="E8" s="7"/>
    </row>
    <row r="9" spans="1:5" s="4" customFormat="1" ht="23.25" customHeight="1">
      <c r="A9" s="17" t="s">
        <v>13</v>
      </c>
      <c r="B9" s="18">
        <v>3.2500000000000001E-2</v>
      </c>
      <c r="C9" s="38">
        <f>C6*$B$9</f>
        <v>315.60750000000002</v>
      </c>
      <c r="D9" s="38">
        <f>D6*$B$9</f>
        <v>411.48250000000002</v>
      </c>
    </row>
    <row r="10" spans="1:5" s="4" customFormat="1" ht="22.5" customHeight="1">
      <c r="A10" s="19" t="s">
        <v>11</v>
      </c>
      <c r="B10" s="20">
        <v>8.3299999999999999E-2</v>
      </c>
      <c r="C10" s="38">
        <f>C3*$B$10</f>
        <v>539.28419999999994</v>
      </c>
      <c r="D10" s="38">
        <f>D3*$B$10</f>
        <v>647.57420000000002</v>
      </c>
    </row>
    <row r="11" spans="1:5" s="4" customFormat="1" ht="24" customHeight="1">
      <c r="A11" s="19" t="s">
        <v>21</v>
      </c>
      <c r="B11" s="20">
        <v>8.3299999999999999E-2</v>
      </c>
      <c r="C11" s="38">
        <f>C3*B11</f>
        <v>539.28419999999994</v>
      </c>
      <c r="D11" s="38">
        <f>D3*B11</f>
        <v>647.57420000000002</v>
      </c>
    </row>
    <row r="12" spans="1:5" s="4" customFormat="1" ht="23.25" customHeight="1">
      <c r="A12" s="17" t="s">
        <v>4</v>
      </c>
      <c r="B12" s="21" t="s">
        <v>10</v>
      </c>
      <c r="C12" s="38">
        <v>250</v>
      </c>
      <c r="D12" s="38">
        <v>250</v>
      </c>
    </row>
    <row r="13" spans="1:5" s="4" customFormat="1" ht="24" customHeight="1">
      <c r="A13" s="19" t="s">
        <v>19</v>
      </c>
      <c r="B13" s="22"/>
      <c r="C13" s="38"/>
      <c r="D13" s="38"/>
    </row>
    <row r="14" spans="1:5" s="5" customFormat="1" ht="24.75" customHeight="1">
      <c r="A14" s="14" t="s">
        <v>5</v>
      </c>
      <c r="B14" s="23"/>
      <c r="C14" s="37">
        <f>SUM(C6:C13)</f>
        <v>12196.795900000001</v>
      </c>
      <c r="D14" s="37">
        <f>SUM(D6:D13)</f>
        <v>15628.250899999999</v>
      </c>
    </row>
    <row r="15" spans="1:5" s="5" customFormat="1" ht="26.25" customHeight="1">
      <c r="A15" s="24" t="s">
        <v>8</v>
      </c>
      <c r="B15" s="25">
        <v>0.16669999999999999</v>
      </c>
      <c r="C15" s="39">
        <f>C14*$B15</f>
        <v>2033.2058765300001</v>
      </c>
      <c r="D15" s="39">
        <f>D14*$B15</f>
        <v>2605.2294250299997</v>
      </c>
    </row>
    <row r="16" spans="1:5" s="5" customFormat="1" ht="20.25" customHeight="1">
      <c r="A16" s="14" t="s">
        <v>1</v>
      </c>
      <c r="B16" s="23"/>
      <c r="C16" s="37">
        <f>C15+C14</f>
        <v>14230.001776530002</v>
      </c>
      <c r="D16" s="37">
        <f>D15+D14</f>
        <v>18233.480325029999</v>
      </c>
    </row>
    <row r="17" spans="1:8" s="5" customFormat="1" ht="23.25" customHeight="1">
      <c r="A17" s="24" t="s">
        <v>18</v>
      </c>
      <c r="B17" s="25">
        <v>0.1</v>
      </c>
      <c r="C17" s="39">
        <f>C16*B17</f>
        <v>1423.0001776530003</v>
      </c>
      <c r="D17" s="39">
        <f>D16*B17</f>
        <v>1823.348032503</v>
      </c>
    </row>
    <row r="18" spans="1:8" s="5" customFormat="1" ht="26.25" customHeight="1" thickBot="1">
      <c r="A18" s="26" t="s">
        <v>9</v>
      </c>
      <c r="B18" s="27"/>
      <c r="C18" s="40">
        <f>SUM(C16:C17)</f>
        <v>15653.001954183002</v>
      </c>
      <c r="D18" s="40">
        <f>SUM(D16:D17)</f>
        <v>20056.828357532999</v>
      </c>
    </row>
    <row r="19" spans="1:8" s="5" customFormat="1" ht="15" customHeight="1">
      <c r="A19" s="28"/>
      <c r="B19" s="28"/>
      <c r="C19" s="29"/>
      <c r="D19" s="16"/>
    </row>
    <row r="20" spans="1:8" ht="15.75">
      <c r="A20" s="16" t="s">
        <v>2</v>
      </c>
      <c r="B20" s="16"/>
      <c r="C20" s="16"/>
      <c r="D20" s="30"/>
    </row>
    <row r="21" spans="1:8" ht="15">
      <c r="A21" s="41" t="s">
        <v>14</v>
      </c>
      <c r="B21" s="42"/>
      <c r="C21" s="42"/>
      <c r="D21" s="42"/>
      <c r="E21" s="42"/>
      <c r="F21" s="42"/>
      <c r="G21" s="42"/>
      <c r="H21" s="42"/>
    </row>
    <row r="22" spans="1:8" ht="15">
      <c r="A22" s="31" t="s">
        <v>17</v>
      </c>
      <c r="B22" s="31"/>
      <c r="C22" s="31"/>
      <c r="D22" s="32"/>
    </row>
    <row r="23" spans="1:8" ht="15">
      <c r="A23" s="33" t="s">
        <v>20</v>
      </c>
      <c r="B23" s="33"/>
      <c r="C23" s="32"/>
      <c r="D23" s="32"/>
    </row>
  </sheetData>
  <mergeCells count="3">
    <mergeCell ref="A21:H21"/>
    <mergeCell ref="A7:D7"/>
    <mergeCell ref="A1:D1"/>
  </mergeCells>
  <hyperlinks>
    <hyperlink ref="A9" r:id="rId1" display="Bonus@8.33% on Basic"/>
    <hyperlink ref="A8" r:id="rId2" display="Leave@9.61% on Basic"/>
    <hyperlink ref="A10" r:id="rId3" display="PF@13% on Basic"/>
  </hyperlinks>
  <pageMargins left="0.7" right="0.7" top="0.75" bottom="0.75" header="0.3" footer="0.3"/>
  <pageSetup paperSize="9" orientation="portrait" horizontalDpi="300" verticalDpi="30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 hours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Dell</cp:lastModifiedBy>
  <cp:lastPrinted>2019-11-11T09:16:58Z</cp:lastPrinted>
  <dcterms:created xsi:type="dcterms:W3CDTF">2007-07-02T09:47:28Z</dcterms:created>
  <dcterms:modified xsi:type="dcterms:W3CDTF">2020-10-20T10:02:54Z</dcterms:modified>
</cp:coreProperties>
</file>